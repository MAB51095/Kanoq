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MAB\Desktop\"/>
    </mc:Choice>
  </mc:AlternateContent>
  <xr:revisionPtr revIDLastSave="0" documentId="13_ncr:1_{7D8E5BF7-FE24-4CAA-B48D-AA5C038CA3AF}" xr6:coauthVersionLast="47" xr6:coauthVersionMax="47" xr10:uidLastSave="{00000000-0000-0000-0000-000000000000}"/>
  <bookViews>
    <workbookView xWindow="-80" yWindow="-80" windowWidth="19360" windowHeight="10500" activeTab="4" xr2:uid="{76B6124C-01A7-45B4-831E-BC1B50446B2C}"/>
  </bookViews>
  <sheets>
    <sheet name="Client" sheetId="3" r:id="rId1"/>
    <sheet name="Payment Tracking" sheetId="2" r:id="rId2"/>
    <sheet name="Income Tracking" sheetId="28" r:id="rId3"/>
    <sheet name="Work" sheetId="1" r:id="rId4"/>
    <sheet name="Income" sheetId="26" r:id="rId5"/>
    <sheet name="Tailor" sheetId="25" r:id="rId6"/>
    <sheet name="Model" sheetId="16" r:id="rId7"/>
  </sheets>
  <definedNames>
    <definedName name="Slicer_Client">#N/A</definedName>
    <definedName name="Slicer_Client1">#N/A</definedName>
    <definedName name="Slicer_Client2">#N/A</definedName>
    <definedName name="Slicer_Date1">#N/A</definedName>
  </definedNames>
  <calcPr calcId="191029" refMode="R1C1"/>
  <pivotCaches>
    <pivotCache cacheId="210" r:id="rId8"/>
    <pivotCache cacheId="366"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3" l="1"/>
  <c r="C8" i="3"/>
  <c r="K31" i="1"/>
  <c r="K12" i="1"/>
  <c r="C2" i="3"/>
  <c r="C3" i="3"/>
  <c r="C4" i="3"/>
  <c r="C5" i="3"/>
  <c r="C6" i="3"/>
  <c r="C7" i="3"/>
  <c r="B4" i="3"/>
  <c r="B5" i="3"/>
  <c r="B6" i="3"/>
  <c r="B7" i="3"/>
  <c r="K30" i="1"/>
  <c r="K29" i="1"/>
  <c r="K28" i="1"/>
  <c r="K27" i="1"/>
  <c r="K26" i="1"/>
  <c r="K25" i="1"/>
  <c r="K24" i="1"/>
  <c r="K23" i="1"/>
  <c r="K22" i="1"/>
  <c r="K21" i="1"/>
  <c r="K20" i="1"/>
  <c r="K19" i="1"/>
  <c r="K18" i="1"/>
  <c r="K17" i="1"/>
  <c r="K16" i="1"/>
  <c r="K15" i="1"/>
  <c r="K14" i="1"/>
  <c r="K13" i="1"/>
  <c r="K11" i="1"/>
  <c r="K10" i="1"/>
  <c r="K9" i="1"/>
  <c r="K8" i="1"/>
  <c r="K7" i="1"/>
  <c r="K6" i="1"/>
  <c r="K5" i="1"/>
  <c r="K4" i="1"/>
  <c r="K3" i="1"/>
  <c r="K2" i="1"/>
  <c r="B2" i="3" s="1"/>
  <c r="D2" i="3" s="1"/>
  <c r="B3" i="3" l="1"/>
  <c r="D3" i="3" s="1"/>
  <c r="D8" i="3"/>
  <c r="D5" i="3"/>
  <c r="D7" i="3"/>
  <c r="D6" i="3"/>
  <c r="D4" i="3"/>
</calcChain>
</file>

<file path=xl/sharedStrings.xml><?xml version="1.0" encoding="utf-8"?>
<sst xmlns="http://schemas.openxmlformats.org/spreadsheetml/2006/main" count="107" uniqueCount="52">
  <si>
    <t xml:space="preserve">Date </t>
  </si>
  <si>
    <t>Client</t>
  </si>
  <si>
    <t>Particular</t>
  </si>
  <si>
    <t>Color</t>
  </si>
  <si>
    <t>Side</t>
  </si>
  <si>
    <t>Rate</t>
  </si>
  <si>
    <t>Quantity</t>
  </si>
  <si>
    <t>Amount</t>
  </si>
  <si>
    <t>Screen</t>
  </si>
  <si>
    <t>Nizaar</t>
  </si>
  <si>
    <t>Shanmugam</t>
  </si>
  <si>
    <t>Grand Total</t>
  </si>
  <si>
    <t>Sarfraz</t>
  </si>
  <si>
    <t>Model</t>
  </si>
  <si>
    <t>Payment</t>
  </si>
  <si>
    <t>Set Purse</t>
  </si>
  <si>
    <t>Lady's Bag</t>
  </si>
  <si>
    <t>Gents Purse</t>
  </si>
  <si>
    <t>T Shirt</t>
  </si>
  <si>
    <t>Air Bag</t>
  </si>
  <si>
    <t>Suitcase</t>
  </si>
  <si>
    <t>Travel bag</t>
  </si>
  <si>
    <t>Cap</t>
  </si>
  <si>
    <t>Ready Bag</t>
  </si>
  <si>
    <t>Cut Purse</t>
  </si>
  <si>
    <t>Rain coat</t>
  </si>
  <si>
    <t>Apron</t>
  </si>
  <si>
    <t>Ready Purse</t>
  </si>
  <si>
    <t>DemoBag</t>
  </si>
  <si>
    <t>Tailor</t>
  </si>
  <si>
    <t>Karunanidhi</t>
  </si>
  <si>
    <t>Abbas</t>
  </si>
  <si>
    <t>Durai</t>
  </si>
  <si>
    <t>_Others_</t>
  </si>
  <si>
    <t>Ad India</t>
  </si>
  <si>
    <t>Azar Bags</t>
  </si>
  <si>
    <t>Vinayaga Bags</t>
  </si>
  <si>
    <t>(blank)</t>
  </si>
  <si>
    <t>Balance</t>
  </si>
  <si>
    <t>Received</t>
  </si>
  <si>
    <t>Date</t>
  </si>
  <si>
    <t>Qty</t>
  </si>
  <si>
    <t>Sum of Amount</t>
  </si>
  <si>
    <t>shanmugam</t>
  </si>
  <si>
    <t>03-Mar</t>
  </si>
  <si>
    <t>Demo</t>
  </si>
  <si>
    <t>04-Mar</t>
  </si>
  <si>
    <t>05-Mar</t>
  </si>
  <si>
    <t>Apr</t>
  </si>
  <si>
    <t>RMKV</t>
  </si>
  <si>
    <t>Pothys</t>
  </si>
  <si>
    <t>Kaseem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</si>
</sst>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 [$₹-4009]\ * #,##0.00_ ;_ [$₹-4009]\ * \-#,##0.00_ ;_ [$₹-4009]\ * &quot;-&quot;??_ ;_ @_ "/>
    <numFmt numFmtId="166" formatCode="[$₹-4009]\ #,##0.00;[$₹-4009]\ \-#,##0.00"/>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6">
    <xf numFmtId="0" fontId="0" fillId="0" borderId="0" xfId="0"/>
    <xf numFmtId="0" fontId="0" fillId="0" borderId="0" xfId="0" applyAlignment="1">
      <alignment vertical="center"/>
    </xf>
    <xf numFmtId="0" fontId="0" fillId="0" borderId="0" xfId="0" applyAlignment="1">
      <alignment vertical="center" wrapText="1"/>
    </xf>
    <xf numFmtId="0" fontId="0" fillId="0" borderId="0" xfId="0" pivotButton="1" applyAlignment="1">
      <alignment horizontal="right" vertical="center" wrapText="1"/>
    </xf>
    <xf numFmtId="14" fontId="0" fillId="0" borderId="0" xfId="0" applyNumberFormat="1" applyAlignment="1">
      <alignment vertical="center" wrapText="1"/>
    </xf>
    <xf numFmtId="0" fontId="0" fillId="0" borderId="0" xfId="0" pivotButton="1" applyAlignment="1">
      <alignment vertical="center" wrapText="1"/>
    </xf>
    <xf numFmtId="0" fontId="0" fillId="0" borderId="0" xfId="0" pivotButton="1" applyAlignment="1">
      <alignment horizontal="left" vertical="center" wrapText="1"/>
    </xf>
    <xf numFmtId="0" fontId="0" fillId="0" borderId="0" xfId="0" applyAlignment="1">
      <alignment horizontal="right" vertical="center" wrapText="1"/>
    </xf>
    <xf numFmtId="166" fontId="0" fillId="0" borderId="0" xfId="0" applyNumberFormat="1" applyAlignment="1">
      <alignment horizontal="right" vertical="center" wrapText="1"/>
    </xf>
    <xf numFmtId="0" fontId="0" fillId="0" borderId="0" xfId="0" applyAlignment="1">
      <alignment horizontal="left" vertical="center" wrapText="1"/>
    </xf>
    <xf numFmtId="14" fontId="0" fillId="0" borderId="0" xfId="0" applyNumberFormat="1" applyAlignment="1">
      <alignment horizontal="right" vertical="center" wrapText="1"/>
    </xf>
    <xf numFmtId="0" fontId="0" fillId="0" borderId="0" xfId="0" applyProtection="1">
      <protection locked="0"/>
    </xf>
    <xf numFmtId="0" fontId="0" fillId="0" borderId="0" xfId="0" applyProtection="1"/>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164" fontId="0" fillId="0" borderId="0" xfId="0" applyNumberFormat="1" applyAlignment="1" applyProtection="1">
      <alignment vertical="center" wrapText="1"/>
      <protection locked="0"/>
    </xf>
    <xf numFmtId="1" fontId="0" fillId="0" borderId="0" xfId="0" applyNumberFormat="1" applyAlignment="1" applyProtection="1">
      <alignment vertical="center" wrapText="1"/>
      <protection locked="0"/>
    </xf>
    <xf numFmtId="0" fontId="0" fillId="0" borderId="0" xfId="0" applyAlignment="1" applyProtection="1">
      <alignment vertical="center" wrapText="1"/>
    </xf>
    <xf numFmtId="0" fontId="0" fillId="0" borderId="0" xfId="0" applyAlignment="1" applyProtection="1">
      <alignment vertical="center"/>
    </xf>
    <xf numFmtId="164" fontId="0" fillId="0" borderId="0" xfId="0" applyNumberFormat="1" applyAlignment="1" applyProtection="1">
      <alignment vertical="center" wrapText="1"/>
    </xf>
    <xf numFmtId="166" fontId="0" fillId="0" borderId="0" xfId="0" applyNumberFormat="1" applyAlignment="1">
      <alignment vertical="center" wrapText="1"/>
    </xf>
    <xf numFmtId="1" fontId="0" fillId="0" borderId="0" xfId="0" applyNumberFormat="1" applyAlignment="1">
      <alignment vertical="center" wrapText="1"/>
    </xf>
    <xf numFmtId="0" fontId="0" fillId="0" borderId="0" xfId="0" pivotButton="1"/>
    <xf numFmtId="14" fontId="0" fillId="0" borderId="0" xfId="0" applyNumberFormat="1"/>
    <xf numFmtId="0" fontId="0" fillId="0" borderId="0" xfId="0" applyNumberFormat="1"/>
    <xf numFmtId="0" fontId="0" fillId="0" borderId="0" xfId="0" applyNumberFormat="1" applyProtection="1"/>
  </cellXfs>
  <cellStyles count="1">
    <cellStyle name="Normal" xfId="0" builtinId="0"/>
  </cellStyles>
  <dxfs count="67">
    <dxf>
      <alignment horizontal="right"/>
    </dxf>
    <dxf>
      <alignment horizontal="right"/>
    </dxf>
    <dxf>
      <alignment horizontal="right"/>
    </dxf>
    <dxf>
      <alignment horizontal="right"/>
    </dxf>
    <dxf>
      <alignment horizontal="left"/>
    </dxf>
    <dxf>
      <alignment horizontal="right"/>
    </dxf>
    <dxf>
      <alignment horizontal="right"/>
    </dxf>
    <dxf>
      <alignment horizontal="right"/>
    </dxf>
    <dxf>
      <alignment horizontal="right"/>
    </dxf>
    <dxf>
      <numFmt numFmtId="166" formatCode="[$₹-4009]\ #,##0.00;[$₹-4009]\ \-#,##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protection locked="0" hidden="0"/>
    </dxf>
    <dxf>
      <protection locked="0" hidden="0"/>
    </dxf>
    <dxf>
      <protection locked="0" hidden="0"/>
    </dxf>
    <dxf>
      <protection locked="0" hidden="0"/>
    </dxf>
    <dxf>
      <protection locked="0" hidden="0"/>
    </dxf>
    <dxf>
      <protection locked="0" hidden="0"/>
    </dxf>
    <dxf>
      <numFmt numFmtId="164" formatCode="_(* #,##0.00_);_(* \(#,##0.00\);_(* &quot;-&quot;??_);_(@_)"/>
      <alignment horizontal="general" vertical="center" textRotation="0" wrapText="1" indent="0" justifyLastLine="0" shrinkToFit="0" readingOrder="0"/>
      <protection locked="0" hidden="0"/>
    </dxf>
    <dxf>
      <protection locked="0" hidden="0"/>
    </dxf>
    <dxf>
      <protection locked="0" hidden="0"/>
    </dxf>
    <dxf>
      <numFmt numFmtId="19" formatCode="dd/mm/yyyy"/>
      <alignment horizontal="general" vertical="center" textRotation="0" wrapText="1" indent="0" justifyLastLine="0" shrinkToFit="0" readingOrder="0"/>
      <protection locked="0" hidden="0"/>
    </dxf>
    <dxf>
      <protection locked="0" hidden="0"/>
    </dxf>
    <dxf>
      <protection locked="0" hidden="0"/>
    </dxf>
    <dxf>
      <numFmt numFmtId="164" formatCode="_(* #,##0.00_);_(* \(#,##0.00\);_(* &quot;-&quot;??_);_(@_)"/>
      <alignment horizontal="general" vertical="center" textRotation="0" wrapText="1" indent="0" justifyLastLine="0" shrinkToFit="0" readingOrder="0"/>
      <protection locked="1" hidden="0"/>
    </dxf>
    <dxf>
      <numFmt numFmtId="1" formatCode="0"/>
      <alignment horizontal="general" vertical="center" textRotation="0" wrapText="1" indent="0" justifyLastLine="0" shrinkToFit="0" readingOrder="0"/>
      <protection locked="0" hidden="0"/>
    </dxf>
    <dxf>
      <numFmt numFmtId="164" formatCode="_(* #,##0.00_);_(* \(#,##0.00\);_(* &quot;-&quot;??_);_(@_)"/>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protection locked="1" hidden="0"/>
    </dxf>
    <dxf>
      <numFmt numFmtId="0" formatCode="General"/>
      <protection locked="1" hidden="0"/>
    </dxf>
    <dxf>
      <numFmt numFmtId="0" formatCode="General"/>
      <protection locked="1" hidden="0"/>
    </dxf>
    <dxf>
      <protection locked="0" hidden="0"/>
    </dxf>
    <dxf>
      <protection locked="1"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4</xdr:col>
      <xdr:colOff>387350</xdr:colOff>
      <xdr:row>0</xdr:row>
      <xdr:rowOff>57150</xdr:rowOff>
    </xdr:from>
    <xdr:to>
      <xdr:col>7</xdr:col>
      <xdr:colOff>292100</xdr:colOff>
      <xdr:row>20</xdr:row>
      <xdr:rowOff>3175</xdr:rowOff>
    </xdr:to>
    <mc:AlternateContent xmlns:mc="http://schemas.openxmlformats.org/markup-compatibility/2006">
      <mc:Choice xmlns:sle15="http://schemas.microsoft.com/office/drawing/2012/slicer" Requires="sle15">
        <xdr:graphicFrame macro="">
          <xdr:nvGraphicFramePr>
            <xdr:cNvPr id="2" name="Client 2">
              <a:extLst>
                <a:ext uri="{FF2B5EF4-FFF2-40B4-BE49-F238E27FC236}">
                  <a16:creationId xmlns:a16="http://schemas.microsoft.com/office/drawing/2014/main" id="{C02C11AB-DC74-423D-B624-8A25ED70B156}"/>
                </a:ext>
              </a:extLst>
            </xdr:cNvPr>
            <xdr:cNvGraphicFramePr/>
          </xdr:nvGraphicFramePr>
          <xdr:xfrm>
            <a:off x="0" y="0"/>
            <a:ext cx="0" cy="0"/>
          </xdr:xfrm>
          <a:graphic>
            <a:graphicData uri="http://schemas.microsoft.com/office/drawing/2010/slicer">
              <sle:slicer xmlns:sle="http://schemas.microsoft.com/office/drawing/2010/slicer" name="Client 2"/>
            </a:graphicData>
          </a:graphic>
        </xdr:graphicFrame>
      </mc:Choice>
      <mc:Fallback>
        <xdr:sp macro="" textlink="">
          <xdr:nvSpPr>
            <xdr:cNvPr id="0" name=""/>
            <xdr:cNvSpPr>
              <a:spLocks noTextEdit="1"/>
            </xdr:cNvSpPr>
          </xdr:nvSpPr>
          <xdr:spPr>
            <a:xfrm>
              <a:off x="5124450" y="57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434340</xdr:colOff>
      <xdr:row>0</xdr:row>
      <xdr:rowOff>106680</xdr:rowOff>
    </xdr:from>
    <xdr:to>
      <xdr:col>21</xdr:col>
      <xdr:colOff>283845</xdr:colOff>
      <xdr:row>14</xdr:row>
      <xdr:rowOff>30479</xdr:rowOff>
    </xdr:to>
    <mc:AlternateContent xmlns:mc="http://schemas.openxmlformats.org/markup-compatibility/2006" xmlns:a14="http://schemas.microsoft.com/office/drawing/2010/main">
      <mc:Choice Requires="a14">
        <xdr:graphicFrame macro="">
          <xdr:nvGraphicFramePr>
            <xdr:cNvPr id="8" name="Date  1">
              <a:extLst>
                <a:ext uri="{FF2B5EF4-FFF2-40B4-BE49-F238E27FC236}">
                  <a16:creationId xmlns:a16="http://schemas.microsoft.com/office/drawing/2014/main" id="{20A2C6FD-ADFC-41CF-A634-B865A10D3D4D}"/>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2984480" y="106680"/>
              <a:ext cx="1059180" cy="3581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10</xdr:col>
      <xdr:colOff>673100</xdr:colOff>
      <xdr:row>2</xdr:row>
      <xdr:rowOff>47625</xdr:rowOff>
    </xdr:from>
    <xdr:to>
      <xdr:col>13</xdr:col>
      <xdr:colOff>323850</xdr:colOff>
      <xdr:row>14</xdr:row>
      <xdr:rowOff>19050</xdr:rowOff>
    </xdr:to>
    <mc:AlternateContent xmlns:mc="http://schemas.openxmlformats.org/markup-compatibility/2006">
      <mc:Choice xmlns:a14="http://schemas.microsoft.com/office/drawing/2010/main" Requires="a14">
        <xdr:graphicFrame macro="">
          <xdr:nvGraphicFramePr>
            <xdr:cNvPr id="2" name="Client">
              <a:extLst>
                <a:ext uri="{FF2B5EF4-FFF2-40B4-BE49-F238E27FC236}">
                  <a16:creationId xmlns:a16="http://schemas.microsoft.com/office/drawing/2014/main" id="{D8C40ACF-5EB4-4ED5-9D4A-B1095FEC223A}"/>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dr:sp macro="" textlink="">
          <xdr:nvSpPr>
            <xdr:cNvPr id="0" name=""/>
            <xdr:cNvSpPr>
              <a:spLocks noTextEdit="1"/>
            </xdr:cNvSpPr>
          </xdr:nvSpPr>
          <xdr:spPr>
            <a:xfrm>
              <a:off x="9455150" y="600075"/>
              <a:ext cx="1828800" cy="2549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428625</xdr:colOff>
      <xdr:row>1</xdr:row>
      <xdr:rowOff>57150</xdr:rowOff>
    </xdr:from>
    <xdr:to>
      <xdr:col>10</xdr:col>
      <xdr:colOff>428625</xdr:colOff>
      <xdr:row>15</xdr:row>
      <xdr:rowOff>47625</xdr:rowOff>
    </xdr:to>
    <mc:AlternateContent xmlns:mc="http://schemas.openxmlformats.org/markup-compatibility/2006">
      <mc:Choice xmlns:a14="http://schemas.microsoft.com/office/drawing/2010/main" Requires="a14">
        <xdr:graphicFrame macro="">
          <xdr:nvGraphicFramePr>
            <xdr:cNvPr id="2" name="Client 1">
              <a:extLst>
                <a:ext uri="{FF2B5EF4-FFF2-40B4-BE49-F238E27FC236}">
                  <a16:creationId xmlns:a16="http://schemas.microsoft.com/office/drawing/2014/main" id="{430F8D8D-88AC-47D7-BECD-9F314E3266DB}"/>
                </a:ext>
              </a:extLst>
            </xdr:cNvPr>
            <xdr:cNvGraphicFramePr/>
          </xdr:nvGraphicFramePr>
          <xdr:xfrm>
            <a:off x="0" y="0"/>
            <a:ext cx="0" cy="0"/>
          </xdr:xfrm>
          <a:graphic>
            <a:graphicData uri="http://schemas.microsoft.com/office/drawing/2010/slicer">
              <sle:slicer xmlns:sle="http://schemas.microsoft.com/office/drawing/2010/slicer" name="Client 1"/>
            </a:graphicData>
          </a:graphic>
        </xdr:graphicFrame>
      </mc:Choice>
      <mc:Fallback>
        <xdr:sp macro="" textlink="">
          <xdr:nvSpPr>
            <xdr:cNvPr id="0" name=""/>
            <xdr:cNvSpPr>
              <a:spLocks noTextEdit="1"/>
            </xdr:cNvSpPr>
          </xdr:nvSpPr>
          <xdr:spPr>
            <a:xfrm>
              <a:off x="5743575" y="241300"/>
              <a:ext cx="1828800" cy="2568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B" refreshedDate="44660.954163194445" createdVersion="7" refreshedVersion="7" minRefreshableVersion="3" recordCount="5" xr:uid="{CAB9AB63-B947-43CA-9EF8-818ADB150315}">
  <cacheSource type="worksheet">
    <worksheetSource name="tblIncome"/>
  </cacheSource>
  <cacheFields count="5">
    <cacheField name="Date" numFmtId="14">
      <sharedItems containsSemiMixedTypes="0" containsNonDate="0" containsDate="1" containsString="0" minDate="2021-03-03T00:00:00" maxDate="2023-02-03T00:00:00" count="5">
        <d v="2022-01-01T00:00:00"/>
        <d v="2023-02-02T00:00:00"/>
        <d v="2021-03-03T00:00:00"/>
        <d v="2022-03-04T00:00:00"/>
        <d v="2022-03-05T00:00:00"/>
      </sharedItems>
      <fieldGroup par="4" base="0">
        <rangePr groupBy="days" startDate="2021-03-03T00:00:00" endDate="2023-02-03T00:00:00"/>
        <groupItems count="368">
          <s v="&lt;03-03-202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3-02-2023"/>
        </groupItems>
      </fieldGroup>
    </cacheField>
    <cacheField name="Client" numFmtId="0">
      <sharedItems count="2">
        <s v="Nizaar"/>
        <s v="shanmugam"/>
      </sharedItems>
    </cacheField>
    <cacheField name="Particular" numFmtId="0">
      <sharedItems containsNonDate="0" containsString="0" containsBlank="1" count="1">
        <m/>
      </sharedItems>
    </cacheField>
    <cacheField name="Amount" numFmtId="164">
      <sharedItems containsSemiMixedTypes="0" containsString="0" containsNumber="1" containsInteger="1" minValue="2000" maxValue="30000"/>
    </cacheField>
    <cacheField name="Months" numFmtId="0" databaseField="0">
      <fieldGroup base="0">
        <rangePr groupBy="months" startDate="2021-03-03T00:00:00" endDate="2023-02-03T00:00:00"/>
        <groupItems count="14">
          <s v="&lt;03-03-2021"/>
          <s v="Jan"/>
          <s v="Feb"/>
          <s v="Mar"/>
          <s v="Apr"/>
          <s v="May"/>
          <s v="Jun"/>
          <s v="Jul"/>
          <s v="Aug"/>
          <s v="Sep"/>
          <s v="Oct"/>
          <s v="Nov"/>
          <s v="Dec"/>
          <s v="&gt;03-02-2023"/>
        </groupItems>
      </fieldGroup>
    </cacheField>
  </cacheFields>
  <extLst>
    <ext xmlns:x14="http://schemas.microsoft.com/office/spreadsheetml/2009/9/main" uri="{725AE2AE-9491-48be-B2B4-4EB974FC3084}">
      <x14:pivotCacheDefinition pivotCacheId="16603417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B" refreshedDate="44660.958269328701" createdVersion="7" refreshedVersion="7" minRefreshableVersion="3" recordCount="30" xr:uid="{67499F03-4089-4100-84BB-629C782260C3}">
  <cacheSource type="worksheet">
    <worksheetSource name="tblWork"/>
  </cacheSource>
  <cacheFields count="11">
    <cacheField name="Date " numFmtId="14">
      <sharedItems containsNonDate="0" containsDate="1" containsString="0" containsBlank="1" minDate="2022-01-01T00:00:00" maxDate="2022-04-07T00:00:00" count="7">
        <d v="2022-01-01T00:00:00"/>
        <d v="2022-01-02T00:00:00"/>
        <d v="2022-01-03T00:00:00"/>
        <d v="2022-04-04T00:00:00"/>
        <d v="2022-04-05T00:00:00"/>
        <d v="2022-04-06T00:00:00"/>
        <m/>
      </sharedItems>
      <fieldGroup base="0">
        <rangePr groupBy="months" startDate="2022-01-01T00:00:00" endDate="2022-04-07T00:00:00"/>
        <groupItems count="14">
          <s v="(blank)"/>
          <s v="Jan"/>
          <s v="Feb"/>
          <s v="Mar"/>
          <s v="Apr"/>
          <s v="May"/>
          <s v="Jun"/>
          <s v="Jul"/>
          <s v="Aug"/>
          <s v="Sep"/>
          <s v="Oct"/>
          <s v="Nov"/>
          <s v="Dec"/>
          <s v="&gt;07-04-2022"/>
        </groupItems>
      </fieldGroup>
    </cacheField>
    <cacheField name="Client" numFmtId="0">
      <sharedItems containsBlank="1" count="5">
        <s v="Nizaar"/>
        <s v="Shanmugam"/>
        <m/>
        <s v="Sarfraz" u="1"/>
        <s v="Ad India" u="1"/>
      </sharedItems>
    </cacheField>
    <cacheField name="Particular" numFmtId="0">
      <sharedItems containsBlank="1" count="14">
        <m/>
        <s v="RMKV"/>
        <s v="Pothys"/>
        <s v="ds" u="1"/>
        <s v="sfkshdb" u="1"/>
        <s v="Saravana Stores" u="1"/>
        <s v="Demo" u="1"/>
        <s v="RMKC" u="1"/>
        <s v="Chinnadurai" u="1"/>
        <s v="Ghosala" u="1"/>
        <s v="AVM" u="1"/>
        <s v="Saravana Stores Saravana Stores Saravana Stores Saravana Stores " u="1"/>
        <s v="Harish Nadar" u="1"/>
        <s v="safd,jbsapkj fsabdlkjfb saldkjfdbsal" u="1"/>
      </sharedItems>
    </cacheField>
    <cacheField name="Tailor" numFmtId="0">
      <sharedItems containsBlank="1" count="5">
        <m/>
        <s v="Abbas"/>
        <s v="Durai"/>
        <s v="_Others_" u="1"/>
        <s v="Karunanidhi" u="1"/>
      </sharedItems>
    </cacheField>
    <cacheField name="Model" numFmtId="0">
      <sharedItems containsNonDate="0" containsBlank="1" count="5">
        <m/>
        <s v="Cut Purse" u="1"/>
        <s v="T Shirt" u="1"/>
        <s v="Set Purse" u="1"/>
        <s v="Travel bag" u="1"/>
      </sharedItems>
    </cacheField>
    <cacheField name="Color" numFmtId="0">
      <sharedItems containsNonDate="0" containsString="0" containsBlank="1" containsNumber="1" containsInteger="1" minValue="1" maxValue="5" count="4">
        <m/>
        <n v="5" u="1"/>
        <n v="2" u="1"/>
        <n v="1" u="1"/>
      </sharedItems>
    </cacheField>
    <cacheField name="Side" numFmtId="0">
      <sharedItems containsNonDate="0" containsString="0" containsBlank="1" containsNumber="1" containsInteger="1" minValue="1" maxValue="2" count="3">
        <m/>
        <n v="2" u="1"/>
        <n v="1" u="1"/>
      </sharedItems>
    </cacheField>
    <cacheField name="Screen" numFmtId="0">
      <sharedItems containsNonDate="0" containsString="0" containsBlank="1" containsNumber="1" containsInteger="1" minValue="0" maxValue="2" count="4">
        <m/>
        <n v="0" u="1"/>
        <n v="2" u="1"/>
        <n v="1" u="1"/>
      </sharedItems>
    </cacheField>
    <cacheField name="Rate" numFmtId="164">
      <sharedItems containsString="0" containsBlank="1" containsNumber="1" minValue="0.6" maxValue="100" count="9">
        <n v="1"/>
        <n v="2"/>
        <n v="5"/>
        <n v="10"/>
        <n v="8"/>
        <m/>
        <n v="100" u="1"/>
        <n v="0.6" u="1"/>
        <n v="30" u="1"/>
      </sharedItems>
    </cacheField>
    <cacheField name="Quantity" numFmtId="1">
      <sharedItems containsString="0" containsBlank="1" containsNumber="1" containsInteger="1" minValue="1" maxValue="100000" count="11">
        <n v="100000"/>
        <n v="2500"/>
        <n v="6250"/>
        <n v="255"/>
        <n v="3000"/>
        <m/>
        <n v="1000" u="1"/>
        <n v="4000" u="1"/>
        <n v="60" u="1"/>
        <n v="1" u="1"/>
        <n v="2000" u="1"/>
      </sharedItems>
    </cacheField>
    <cacheField name="Amount" numFmtId="164">
      <sharedItems containsSemiMixedTypes="0" containsString="0" containsNumber="1" containsInteger="1" minValue="0" maxValue="100000"/>
    </cacheField>
  </cacheFields>
  <extLst>
    <ext xmlns:x14="http://schemas.microsoft.com/office/spreadsheetml/2009/9/main" uri="{725AE2AE-9491-48be-B2B4-4EB974FC3084}">
      <x14:pivotCacheDefinition pivotCacheId="8987496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x v="0"/>
    <n v="20000"/>
  </r>
  <r>
    <x v="1"/>
    <x v="0"/>
    <x v="0"/>
    <n v="30000"/>
  </r>
  <r>
    <x v="2"/>
    <x v="1"/>
    <x v="0"/>
    <n v="5000"/>
  </r>
  <r>
    <x v="3"/>
    <x v="1"/>
    <x v="0"/>
    <n v="3000"/>
  </r>
  <r>
    <x v="4"/>
    <x v="1"/>
    <x v="0"/>
    <n v="2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x v="0"/>
    <x v="0"/>
    <x v="0"/>
    <x v="0"/>
    <x v="0"/>
    <x v="0"/>
    <x v="0"/>
    <n v="100000"/>
  </r>
  <r>
    <x v="1"/>
    <x v="0"/>
    <x v="0"/>
    <x v="0"/>
    <x v="0"/>
    <x v="0"/>
    <x v="0"/>
    <x v="0"/>
    <x v="1"/>
    <x v="1"/>
    <n v="5000"/>
  </r>
  <r>
    <x v="2"/>
    <x v="0"/>
    <x v="0"/>
    <x v="0"/>
    <x v="0"/>
    <x v="0"/>
    <x v="0"/>
    <x v="0"/>
    <x v="2"/>
    <x v="2"/>
    <n v="31250"/>
  </r>
  <r>
    <x v="3"/>
    <x v="1"/>
    <x v="1"/>
    <x v="1"/>
    <x v="0"/>
    <x v="0"/>
    <x v="0"/>
    <x v="0"/>
    <x v="3"/>
    <x v="3"/>
    <n v="2550"/>
  </r>
  <r>
    <x v="4"/>
    <x v="1"/>
    <x v="2"/>
    <x v="0"/>
    <x v="0"/>
    <x v="0"/>
    <x v="0"/>
    <x v="0"/>
    <x v="4"/>
    <x v="4"/>
    <n v="24000"/>
  </r>
  <r>
    <x v="5"/>
    <x v="1"/>
    <x v="1"/>
    <x v="2"/>
    <x v="0"/>
    <x v="0"/>
    <x v="0"/>
    <x v="0"/>
    <x v="4"/>
    <x v="3"/>
    <n v="204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r>
    <x v="6"/>
    <x v="2"/>
    <x v="0"/>
    <x v="0"/>
    <x v="0"/>
    <x v="0"/>
    <x v="0"/>
    <x v="0"/>
    <x v="5"/>
    <x v="5"/>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437A0E-D14C-4BE3-A21C-6CB0A66339DF}" name="pvtblIncome" cacheId="366" applyNumberFormats="0" applyBorderFormats="0" applyFontFormats="0" applyPatternFormats="0" applyAlignmentFormats="0" applyWidthHeightFormats="1" dataCaption="Values" showError="1" updatedVersion="7" minRefreshableVersion="3" itemPrintTitles="1" createdVersion="7" indent="0" compact="0" compactData="0" multipleFieldFilters="0">
  <location ref="A1:J5" firstHeaderRow="1" firstDataRow="1" firstDataCol="9"/>
  <pivotFields count="11">
    <pivotField axis="axisRow" compact="0" numFmtId="14" outline="0" showAll="0" defaultSubtotal="0">
      <items count="14">
        <item h="1" x="0"/>
        <item x="1"/>
        <item x="2"/>
        <item x="3"/>
        <item x="4"/>
        <item x="5"/>
        <item x="6"/>
        <item x="7"/>
        <item x="8"/>
        <item x="9"/>
        <item x="10"/>
        <item x="11"/>
        <item x="12"/>
        <item x="13"/>
      </items>
    </pivotField>
    <pivotField compact="0" outline="0" showAll="0" defaultSubtotal="0">
      <items count="5">
        <item h="1" m="1" x="4"/>
        <item h="1" x="0"/>
        <item h="1" m="1" x="3"/>
        <item x="1"/>
        <item h="1" x="2"/>
      </items>
    </pivotField>
    <pivotField axis="axisRow" compact="0" outline="0" showAll="0" defaultSubtotal="0">
      <items count="14">
        <item m="1" x="10"/>
        <item m="1" x="8"/>
        <item m="1" x="3"/>
        <item m="1" x="5"/>
        <item m="1" x="4"/>
        <item m="1" x="6"/>
        <item m="1" x="12"/>
        <item m="1" x="11"/>
        <item m="1" x="13"/>
        <item x="0"/>
        <item m="1" x="9"/>
        <item m="1" x="7"/>
        <item x="1"/>
        <item x="2"/>
      </items>
    </pivotField>
    <pivotField axis="axisRow" compact="0" outline="0" showAll="0" defaultSubtotal="0">
      <items count="5">
        <item x="0"/>
        <item x="1"/>
        <item m="1" x="4"/>
        <item m="1" x="3"/>
        <item x="2"/>
      </items>
      <extLst>
        <ext xmlns:x14="http://schemas.microsoft.com/office/spreadsheetml/2009/9/main" uri="{2946ED86-A175-432a-8AC1-64E0C546D7DE}">
          <x14:pivotField fillDownLabels="1"/>
        </ext>
      </extLst>
    </pivotField>
    <pivotField axis="axisRow" compact="0" outline="0" showAll="0" defaultSubtotal="0">
      <items count="5">
        <item m="1" x="3"/>
        <item m="1" x="4"/>
        <item x="0"/>
        <item m="1" x="1"/>
        <item m="1" x="2"/>
      </items>
      <extLst>
        <ext xmlns:x14="http://schemas.microsoft.com/office/spreadsheetml/2009/9/main" uri="{2946ED86-A175-432a-8AC1-64E0C546D7DE}">
          <x14:pivotField fillDownLabels="1"/>
        </ext>
      </extLst>
    </pivotField>
    <pivotField axis="axisRow" compact="0" outline="0" showAll="0" includeNewItemsInFilter="1" defaultSubtotal="0">
      <items count="4">
        <item m="1" x="3"/>
        <item m="1" x="2"/>
        <item m="1" x="1"/>
        <item x="0"/>
      </items>
    </pivotField>
    <pivotField axis="axisRow" compact="0" outline="0" showAll="0" defaultSubtotal="0">
      <items count="3">
        <item m="1" x="2"/>
        <item m="1" x="1"/>
        <item x="0"/>
      </items>
      <extLst>
        <ext xmlns:x14="http://schemas.microsoft.com/office/spreadsheetml/2009/9/main" uri="{2946ED86-A175-432a-8AC1-64E0C546D7DE}">
          <x14:pivotField fillDownLabels="1"/>
        </ext>
      </extLst>
    </pivotField>
    <pivotField axis="axisRow" compact="0" outline="0" showAll="0" defaultSubtotal="0">
      <items count="4">
        <item m="1" x="1"/>
        <item m="1" x="2"/>
        <item x="0"/>
        <item m="1" x="3"/>
      </items>
      <extLst>
        <ext xmlns:x14="http://schemas.microsoft.com/office/spreadsheetml/2009/9/main" uri="{2946ED86-A175-432a-8AC1-64E0C546D7DE}">
          <x14:pivotField fillDownLabels="1"/>
        </ext>
      </extLst>
    </pivotField>
    <pivotField axis="axisRow" compact="0" numFmtId="166" outline="0" showAll="0" defaultSubtotal="0">
      <items count="9">
        <item m="1" x="7"/>
        <item x="1"/>
        <item x="2"/>
        <item m="1" x="6"/>
        <item m="1" x="8"/>
        <item x="5"/>
        <item x="0"/>
        <item x="3"/>
        <item x="4"/>
      </items>
      <extLst>
        <ext xmlns:x14="http://schemas.microsoft.com/office/spreadsheetml/2009/9/main" uri="{2946ED86-A175-432a-8AC1-64E0C546D7DE}">
          <x14:pivotField fillDownLabels="1"/>
        </ext>
      </extLst>
    </pivotField>
    <pivotField name="Qty" axis="axisRow" compact="0" numFmtId="1" outline="0" showAll="0" defaultSubtotal="0">
      <items count="11">
        <item m="1" x="9"/>
        <item m="1" x="6"/>
        <item m="1" x="10"/>
        <item m="1" x="7"/>
        <item m="1" x="8"/>
        <item x="5"/>
        <item x="0"/>
        <item x="1"/>
        <item x="2"/>
        <item x="3"/>
        <item x="4"/>
      </items>
      <extLst>
        <ext xmlns:x14="http://schemas.microsoft.com/office/spreadsheetml/2009/9/main" uri="{2946ED86-A175-432a-8AC1-64E0C546D7DE}">
          <x14:pivotField fillDownLabels="1"/>
        </ext>
      </extLst>
    </pivotField>
    <pivotField dataField="1" compact="0" numFmtId="165" outline="0" showAll="0" defaultSubtotal="0"/>
  </pivotFields>
  <rowFields count="9">
    <field x="0"/>
    <field x="3"/>
    <field x="4"/>
    <field x="2"/>
    <field x="5"/>
    <field x="6"/>
    <field x="7"/>
    <field x="8"/>
    <field x="9"/>
  </rowFields>
  <rowItems count="4">
    <i>
      <x v="4"/>
      <x/>
      <x v="2"/>
      <x v="13"/>
      <x v="3"/>
      <x v="2"/>
      <x v="2"/>
      <x v="8"/>
      <x v="10"/>
    </i>
    <i r="1">
      <x v="1"/>
      <x v="2"/>
      <x v="12"/>
      <x v="3"/>
      <x v="2"/>
      <x v="2"/>
      <x v="7"/>
      <x v="9"/>
    </i>
    <i r="1">
      <x v="4"/>
      <x v="2"/>
      <x v="12"/>
      <x v="3"/>
      <x v="2"/>
      <x v="2"/>
      <x v="8"/>
      <x v="9"/>
    </i>
    <i t="grand">
      <x/>
    </i>
  </rowItems>
  <colItems count="1">
    <i/>
  </colItems>
  <dataFields count="1">
    <dataField name="Payment" fld="10" baseField="8" baseItem="3" numFmtId="166"/>
  </dataFields>
  <formats count="36">
    <format dxfId="0">
      <pivotArea field="8" type="button" dataOnly="0" labelOnly="1" outline="0" axis="axisRow" fieldPosition="7"/>
    </format>
    <format dxfId="1">
      <pivotArea dataOnly="0" labelOnly="1" grandRow="1" outline="0" fieldPosition="0"/>
    </format>
    <format dxfId="2">
      <pivotArea outline="0" collapsedLevelsAreSubtotals="1" fieldPosition="0"/>
    </format>
    <format dxfId="3">
      <pivotArea dataOnly="0" labelOnly="1" outline="0" axis="axisValues" fieldPosition="0"/>
    </format>
    <format dxfId="4">
      <pivotArea field="2" type="button" dataOnly="0" labelOnly="1" outline="0" axis="axisRow" fieldPosition="3"/>
    </format>
    <format dxfId="5">
      <pivotArea field="5" type="button" dataOnly="0" labelOnly="1" outline="0" axis="axisRow" fieldPosition="4"/>
    </format>
    <format dxfId="6">
      <pivotArea field="6" type="button" dataOnly="0" labelOnly="1" outline="0" axis="axisRow" fieldPosition="5"/>
    </format>
    <format dxfId="7">
      <pivotArea field="7" type="button" dataOnly="0" labelOnly="1" outline="0" axis="axisRow" fieldPosition="6"/>
    </format>
    <format dxfId="8">
      <pivotArea field="9" type="button" dataOnly="0" labelOnly="1" outline="0" axis="axisRow" fieldPosition="8"/>
    </format>
    <format dxfId="9">
      <pivotArea outline="0" fieldPosition="0">
        <references count="1">
          <reference field="4294967294" count="1">
            <x v="0"/>
          </reference>
        </references>
      </pivotArea>
    </format>
    <format dxfId="10">
      <pivotArea type="all" dataOnly="0" outline="0" fieldPosition="0"/>
    </format>
    <format dxfId="11">
      <pivotArea outline="0" collapsedLevelsAreSubtotals="1" fieldPosition="0"/>
    </format>
    <format dxfId="12">
      <pivotArea field="0" type="button" dataOnly="0" labelOnly="1" outline="0" axis="axisRow" fieldPosition="0"/>
    </format>
    <format dxfId="13">
      <pivotArea field="3" type="button" dataOnly="0" labelOnly="1" outline="0" axis="axisRow" fieldPosition="1"/>
    </format>
    <format dxfId="14">
      <pivotArea field="4" type="button" dataOnly="0" labelOnly="1" outline="0" axis="axisRow" fieldPosition="2"/>
    </format>
    <format dxfId="15">
      <pivotArea field="2" type="button" dataOnly="0" labelOnly="1" outline="0" axis="axisRow" fieldPosition="3"/>
    </format>
    <format dxfId="16">
      <pivotArea field="5" type="button" dataOnly="0" labelOnly="1" outline="0" axis="axisRow" fieldPosition="4"/>
    </format>
    <format dxfId="17">
      <pivotArea field="6" type="button" dataOnly="0" labelOnly="1" outline="0" axis="axisRow" fieldPosition="5"/>
    </format>
    <format dxfId="18">
      <pivotArea field="7" type="button" dataOnly="0" labelOnly="1" outline="0" axis="axisRow" fieldPosition="6"/>
    </format>
    <format dxfId="19">
      <pivotArea field="8" type="button" dataOnly="0" labelOnly="1" outline="0" axis="axisRow" fieldPosition="7"/>
    </format>
    <format dxfId="20">
      <pivotArea field="9" type="button" dataOnly="0" labelOnly="1" outline="0" axis="axisRow" fieldPosition="8"/>
    </format>
    <format dxfId="21">
      <pivotArea dataOnly="0" labelOnly="1" grandRow="1" outline="0" fieldPosition="0"/>
    </format>
    <format dxfId="22">
      <pivotArea dataOnly="0" labelOnly="1" outline="0" axis="axisValues" fieldPosition="0"/>
    </format>
    <format dxfId="23">
      <pivotArea type="all" dataOnly="0" outline="0" fieldPosition="0"/>
    </format>
    <format dxfId="24">
      <pivotArea outline="0" collapsedLevelsAreSubtotals="1" fieldPosition="0"/>
    </format>
    <format dxfId="25">
      <pivotArea field="0" type="button" dataOnly="0" labelOnly="1" outline="0" axis="axisRow" fieldPosition="0"/>
    </format>
    <format dxfId="26">
      <pivotArea field="3" type="button" dataOnly="0" labelOnly="1" outline="0" axis="axisRow" fieldPosition="1"/>
    </format>
    <format dxfId="27">
      <pivotArea field="4" type="button" dataOnly="0" labelOnly="1" outline="0" axis="axisRow" fieldPosition="2"/>
    </format>
    <format dxfId="28">
      <pivotArea field="2" type="button" dataOnly="0" labelOnly="1" outline="0" axis="axisRow" fieldPosition="3"/>
    </format>
    <format dxfId="29">
      <pivotArea field="5" type="button" dataOnly="0" labelOnly="1" outline="0" axis="axisRow" fieldPosition="4"/>
    </format>
    <format dxfId="30">
      <pivotArea field="6" type="button" dataOnly="0" labelOnly="1" outline="0" axis="axisRow" fieldPosition="5"/>
    </format>
    <format dxfId="31">
      <pivotArea field="7" type="button" dataOnly="0" labelOnly="1" outline="0" axis="axisRow" fieldPosition="6"/>
    </format>
    <format dxfId="32">
      <pivotArea field="8" type="button" dataOnly="0" labelOnly="1" outline="0" axis="axisRow" fieldPosition="7"/>
    </format>
    <format dxfId="33">
      <pivotArea field="9" type="button" dataOnly="0" labelOnly="1" outline="0" axis="axisRow" fieldPosition="8"/>
    </format>
    <format dxfId="34">
      <pivotArea dataOnly="0" labelOnly="1" grandRow="1" outline="0" fieldPosition="0"/>
    </format>
    <format dxfId="3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190B25-2B3F-4CF2-A3F8-8CFFEC6923CB}" name="PivotTable1" cacheId="21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A1:D5" firstHeaderRow="1" firstDataRow="1" firstDataCol="3"/>
  <pivotFields count="5">
    <pivotField axis="axisRow" compact="0" numFmtId="14" outline="0" subtotalTop="0" showAll="0" defaultSubtotal="0">
      <items count="368">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s>
      <extLst>
        <ext xmlns:x14="http://schemas.microsoft.com/office/spreadsheetml/2009/9/main" uri="{2946ED86-A175-432a-8AC1-64E0C546D7DE}">
          <x14:pivotField fillDownLabels="1"/>
        </ext>
      </extLst>
    </pivotField>
    <pivotField axis="axisRow" compact="0" outline="0" subtotalTop="0" showAll="0" defaultSubtotal="0">
      <items count="2">
        <item h="1" x="0"/>
        <item x="1"/>
      </items>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numFmtId="164"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3">
    <field x="1"/>
    <field x="2"/>
    <field x="0"/>
  </rowFields>
  <rowItems count="4">
    <i>
      <x v="1"/>
      <x/>
      <x v="62"/>
    </i>
    <i r="2">
      <x v="63"/>
    </i>
    <i r="2">
      <x v="64"/>
    </i>
    <i t="grand">
      <x/>
    </i>
  </rowItems>
  <colItems count="1">
    <i/>
  </colItems>
  <dataFields count="1">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DC50EA4B-0B81-45A1-899C-0F53D0C4A68A}" sourceName="Date ">
  <pivotTables>
    <pivotTable tabId="2" name="pvtblIncome"/>
  </pivotTables>
  <data>
    <tabular pivotCacheId="898749631">
      <items count="14">
        <i x="4" s="1"/>
        <i x="1" s="1" nd="1"/>
        <i x="2" s="1" nd="1"/>
        <i x="3" s="1" nd="1"/>
        <i x="5" s="1" nd="1"/>
        <i x="6" s="1" nd="1"/>
        <i x="7" s="1" nd="1"/>
        <i x="8" s="1" nd="1"/>
        <i x="9" s="1" nd="1"/>
        <i x="10" s="1" nd="1"/>
        <i x="11" s="1" nd="1"/>
        <i x="12" s="1" nd="1"/>
        <i x="0"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 xr10:uid="{07130231-8B48-42C9-B3D4-2644486BD57A}" sourceName="Client">
  <pivotTables>
    <pivotTable tabId="2" name="pvtblIncome"/>
  </pivotTables>
  <data>
    <tabular pivotCacheId="898749631">
      <items count="5">
        <i x="0"/>
        <i x="1" s="1"/>
        <i x="4" nd="1"/>
        <i x="3" nd="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1" xr10:uid="{7D218421-0F05-41CF-93C4-8442FDA638D1}" sourceName="Client">
  <pivotTables>
    <pivotTable tabId="28" name="PivotTable1"/>
  </pivotTables>
  <data>
    <tabular pivotCacheId="166034176">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2" xr10:uid="{C6D338F0-9A87-44A8-8546-B9468160FB24}" sourceName="Client">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2" xr10:uid="{15704ED5-3DEF-4270-9489-50940DBE9ABF}" cache="Slicer_Client2" caption="Clien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2A38E9EC-863A-4762-B91C-0F560846D242}" cache="Slicer_Date1" caption="Date " rowHeight="234950"/>
  <slicer name="Client" xr10:uid="{194FD58C-67EF-45D1-96C6-2E664F0D69D3}" cache="Slicer_Client" caption="Client"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1" xr10:uid="{E1D84D46-2789-4784-854C-C7FC9A4ECBB3}" cache="Slicer_Client1" caption="Client"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9561C6-B19B-4C56-945D-7F9BA274ADD1}" name="tblClient" displayName="tblClient" ref="A1:D8" totalsRowShown="0" headerRowDxfId="66" dataDxfId="65">
  <autoFilter ref="A1:D8" xr:uid="{BE9561C6-B19B-4C56-945D-7F9BA274ADD1}">
    <filterColumn colId="0">
      <filters>
        <filter val="Shanmugam"/>
      </filters>
    </filterColumn>
  </autoFilter>
  <tableColumns count="4">
    <tableColumn id="1" xr3:uid="{4F47735F-43AE-43A9-B6AA-E232D9EC5AE0}" name="Client" dataDxfId="64"/>
    <tableColumn id="2" xr3:uid="{1F7B7231-D499-428F-930C-1E0075EFA826}" name="Amount" dataDxfId="63">
      <calculatedColumnFormula>SUMIF(Work!B:B,tblClient[[#This Row],[Client]],Work!K:K)</calculatedColumnFormula>
    </tableColumn>
    <tableColumn id="3" xr3:uid="{2129513F-4CE3-4FB9-AFE8-937D2256E1A5}" name="Received" dataDxfId="62">
      <calculatedColumnFormula>SUMIF(Income!B:B,tblClient[[#This Row],[Client]],Income!D:D)</calculatedColumnFormula>
    </tableColumn>
    <tableColumn id="4" xr3:uid="{6FC0A490-5ED6-43E8-8535-D9C4D28B24F2}" name="Balance" dataDxfId="61">
      <calculatedColumnFormula>tblClient[[#This Row],[Amount]]-tblClient[[#This Row],[Received]]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72021A-9BA2-4DEC-902C-96F2C800FEFF}" name="tblWork" displayName="tblWork" ref="A1:K31" totalsRowShown="0" headerRowDxfId="60" dataDxfId="59">
  <autoFilter ref="A1:K31" xr:uid="{CF72021A-9BA2-4DEC-902C-96F2C800FEFF}"/>
  <tableColumns count="11">
    <tableColumn id="1" xr3:uid="{F0A64843-D2BF-4CFE-B60D-DC6A6E8DFC05}" name="Date " dataDxfId="58"/>
    <tableColumn id="2" xr3:uid="{99035772-946E-4305-8EFD-89CF7BDFD3E2}" name="Client" dataDxfId="57"/>
    <tableColumn id="3" xr3:uid="{8AA4B83C-08D4-4C51-94F4-98AE5BF6B5A7}" name="Particular" dataDxfId="56"/>
    <tableColumn id="13" xr3:uid="{C87D653A-B289-4037-9517-0255CFB0CA80}" name="Tailor" dataDxfId="55"/>
    <tableColumn id="10" xr3:uid="{ABC175BC-98B9-46D5-AACC-F5584851185C}" name="Model" dataDxfId="54"/>
    <tableColumn id="4" xr3:uid="{72CB2407-27FE-4392-A760-EE792261D16F}" name="Color" dataDxfId="53"/>
    <tableColumn id="5" xr3:uid="{CC486AF5-A15B-455E-887B-96E118C04936}" name="Side" dataDxfId="52"/>
    <tableColumn id="6" xr3:uid="{F9A4D6F8-BD8F-40BB-9027-A81647AE2F91}" name="Screen" dataDxfId="51"/>
    <tableColumn id="7" xr3:uid="{E9442CC6-5B08-4967-8230-E6A41765705A}" name="Rate" dataDxfId="50"/>
    <tableColumn id="8" xr3:uid="{6BE9A4BE-9E67-48B7-979B-A78C3371598E}" name="Quantity" dataDxfId="49"/>
    <tableColumn id="9" xr3:uid="{4B9FCE0B-8DBF-4A6E-9074-2DF829D1E50D}" name="Amount" dataDxfId="48">
      <calculatedColumnFormula>tblWork[[#This Row],[Rate]]*tblWork[[#This Row],[Quantity]]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F6A4BA-6539-4FEA-BC80-57D2B1E0B169}" name="tblIncome" displayName="tblIncome" ref="A1:D6" totalsRowShown="0" headerRowDxfId="47" dataDxfId="46">
  <autoFilter ref="A1:D6" xr:uid="{24F6A4BA-6539-4FEA-BC80-57D2B1E0B169}"/>
  <tableColumns count="4">
    <tableColumn id="1" xr3:uid="{3980173F-7D44-4C1B-A332-63460E7D6DA2}" name="Date" dataDxfId="45"/>
    <tableColumn id="2" xr3:uid="{D9EC5F9A-879E-4F5F-B085-88008632B30D}" name="Client" dataDxfId="44"/>
    <tableColumn id="3" xr3:uid="{A94DB8A6-4603-4D35-8EA4-D2A4C381C6FA}" name="Particular" dataDxfId="43"/>
    <tableColumn id="4" xr3:uid="{3F644170-3A53-4948-BE3E-E9E6E2B971FF}" name="Amount" dataDxfId="4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2670A6-8814-4D5B-B730-CEA2040CE008}" name="tblTailor" displayName="tblTailor" ref="A1:A6" totalsRowShown="0" headerRowDxfId="41" dataDxfId="40">
  <autoFilter ref="A1:A6" xr:uid="{A82670A6-8814-4D5B-B730-CEA2040CE008}"/>
  <sortState xmlns:xlrd2="http://schemas.microsoft.com/office/spreadsheetml/2017/richdata2" ref="A2:A6">
    <sortCondition ref="A1:A6"/>
  </sortState>
  <tableColumns count="1">
    <tableColumn id="1" xr3:uid="{5D8D1388-2A2B-496F-B8EB-3A3509D9DCB6}" name="Tailor" dataDxfId="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9AC2ECF-AD50-49E9-86AB-00D5BC78D378}" name="tblModel" displayName="tblModel" ref="A1:A15" totalsRowShown="0" headerRowDxfId="38" dataDxfId="37">
  <autoFilter ref="A1:A15" xr:uid="{89AC2ECF-AD50-49E9-86AB-00D5BC78D378}"/>
  <sortState xmlns:xlrd2="http://schemas.microsoft.com/office/spreadsheetml/2017/richdata2" ref="A2:A15">
    <sortCondition ref="A1:A15"/>
  </sortState>
  <tableColumns count="1">
    <tableColumn id="1" xr3:uid="{A1D8B687-F15A-4E85-BB47-F4FEEE5BD889}" name="Model" dataDxfId="3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52B9A-41FF-4D40-BCCE-E9EBEEDB8FB5}">
  <sheetPr codeName="Sheet1">
    <tabColor theme="4"/>
  </sheetPr>
  <dimension ref="A1:D8"/>
  <sheetViews>
    <sheetView workbookViewId="0">
      <selection activeCell="B23" sqref="B23"/>
    </sheetView>
  </sheetViews>
  <sheetFormatPr defaultColWidth="9.1796875" defaultRowHeight="14.5" x14ac:dyDescent="0.35"/>
  <cols>
    <col min="1" max="1" width="35.7265625" style="11" customWidth="1"/>
    <col min="2" max="2" width="10.453125" style="12" bestFit="1" customWidth="1"/>
    <col min="3" max="3" width="11.453125" style="12" bestFit="1" customWidth="1"/>
    <col min="4" max="4" width="10.1796875" style="12" bestFit="1" customWidth="1"/>
    <col min="5" max="16384" width="9.1796875" style="12"/>
  </cols>
  <sheetData>
    <row r="1" spans="1:4" x14ac:dyDescent="0.35">
      <c r="A1" s="11" t="s">
        <v>1</v>
      </c>
      <c r="B1" s="11" t="s">
        <v>7</v>
      </c>
      <c r="C1" s="11" t="s">
        <v>39</v>
      </c>
      <c r="D1" s="11" t="s">
        <v>38</v>
      </c>
    </row>
    <row r="2" spans="1:4" hidden="1" x14ac:dyDescent="0.35">
      <c r="A2" s="11" t="s">
        <v>9</v>
      </c>
      <c r="B2" s="12">
        <f>SUMIF(Work!B:B,tblClient[[#This Row],[Client]],Work!K:K)</f>
        <v>136250</v>
      </c>
      <c r="C2" s="12">
        <f>SUMIF(Income!B:B,tblClient[[#This Row],[Client]],Income!D:D)</f>
        <v>50000</v>
      </c>
      <c r="D2" s="12">
        <f>tblClient[[#This Row],[Amount]]-tblClient[[#This Row],[Received]]</f>
        <v>86250</v>
      </c>
    </row>
    <row r="3" spans="1:4" x14ac:dyDescent="0.35">
      <c r="A3" s="11" t="s">
        <v>10</v>
      </c>
      <c r="B3" s="12">
        <f>SUMIF(Work!B:B,tblClient[[#This Row],[Client]],Work!K:K)</f>
        <v>28590</v>
      </c>
      <c r="C3" s="12">
        <f>SUMIF(Income!B:B,tblClient[[#This Row],[Client]],Income!D:D)</f>
        <v>10000</v>
      </c>
      <c r="D3" s="12">
        <f>tblClient[[#This Row],[Amount]]-tblClient[[#This Row],[Received]]</f>
        <v>18590</v>
      </c>
    </row>
    <row r="4" spans="1:4" hidden="1" x14ac:dyDescent="0.35">
      <c r="A4" s="11" t="s">
        <v>12</v>
      </c>
      <c r="B4" s="12">
        <f>SUMIF(Work!B:B,tblClient[[#This Row],[Client]],Work!K:K)</f>
        <v>0</v>
      </c>
      <c r="C4" s="12">
        <f>SUMIF(Income!B:B,tblClient[[#This Row],[Client]],Income!D:D)</f>
        <v>0</v>
      </c>
      <c r="D4" s="12">
        <f>tblClient[[#This Row],[Amount]]-tblClient[[#This Row],[Received]]</f>
        <v>0</v>
      </c>
    </row>
    <row r="5" spans="1:4" hidden="1" x14ac:dyDescent="0.35">
      <c r="A5" s="11" t="s">
        <v>34</v>
      </c>
      <c r="B5" s="12">
        <f>SUMIF(Work!B:B,tblClient[[#This Row],[Client]],Work!K:K)</f>
        <v>0</v>
      </c>
      <c r="C5" s="12">
        <f>SUMIF(Income!B:B,tblClient[[#This Row],[Client]],Income!D:D)</f>
        <v>0</v>
      </c>
      <c r="D5" s="12">
        <f>tblClient[[#This Row],[Amount]]-tblClient[[#This Row],[Received]]</f>
        <v>0</v>
      </c>
    </row>
    <row r="6" spans="1:4" hidden="1" x14ac:dyDescent="0.35">
      <c r="A6" s="11" t="s">
        <v>35</v>
      </c>
      <c r="B6" s="12">
        <f>SUMIF(Work!B:B,tblClient[[#This Row],[Client]],Work!K:K)</f>
        <v>0</v>
      </c>
      <c r="C6" s="12">
        <f>SUMIF(Income!B:B,tblClient[[#This Row],[Client]],Income!D:D)</f>
        <v>0</v>
      </c>
      <c r="D6" s="12">
        <f>tblClient[[#This Row],[Amount]]-tblClient[[#This Row],[Received]]</f>
        <v>0</v>
      </c>
    </row>
    <row r="7" spans="1:4" hidden="1" x14ac:dyDescent="0.35">
      <c r="A7" s="11" t="s">
        <v>36</v>
      </c>
      <c r="B7" s="12">
        <f>SUMIF(Work!B:B,tblClient[[#This Row],[Client]],Work!K:K)</f>
        <v>0</v>
      </c>
      <c r="C7" s="12">
        <f>SUMIF(Income!B:B,tblClient[[#This Row],[Client]],Income!D:D)</f>
        <v>0</v>
      </c>
      <c r="D7" s="12">
        <f>tblClient[[#This Row],[Amount]]-tblClient[[#This Row],[Received]]</f>
        <v>0</v>
      </c>
    </row>
    <row r="8" spans="1:4" hidden="1" x14ac:dyDescent="0.35">
      <c r="A8" s="11" t="s">
        <v>45</v>
      </c>
      <c r="B8" s="25">
        <f>SUMIF(Work!B:B,tblClient[[#This Row],[Client]],Work!K:K)</f>
        <v>0</v>
      </c>
      <c r="C8" s="25">
        <f>SUMIF(Income!B:B,tblClient[[#This Row],[Client]],Income!D:D)</f>
        <v>0</v>
      </c>
      <c r="D8" s="25">
        <f>tblClient[[#This Row],[Amount]]-tblClient[[#This Row],[Received]]</f>
        <v>0</v>
      </c>
    </row>
  </sheetData>
  <sheetProtection deleteColumns="0" deleteRows="0" sort="0" autoFilter="0" pivotTables="0"/>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97C-F8D8-4E3E-96A4-60F0ACBDA88C}">
  <sheetPr codeName="Sheet3">
    <tabColor rgb="FFFFFF00"/>
  </sheetPr>
  <dimension ref="A1:K15"/>
  <sheetViews>
    <sheetView zoomScaleNormal="100" workbookViewId="0">
      <selection activeCell="J5" sqref="J5"/>
    </sheetView>
  </sheetViews>
  <sheetFormatPr defaultColWidth="8.81640625" defaultRowHeight="14.5" x14ac:dyDescent="0.35"/>
  <cols>
    <col min="1" max="1" width="12.453125" style="2" bestFit="1" customWidth="1"/>
    <col min="2" max="2" width="21" style="2" customWidth="1"/>
    <col min="3" max="3" width="15.81640625" style="2" customWidth="1"/>
    <col min="4" max="4" width="14.54296875" style="9" customWidth="1"/>
    <col min="5" max="5" width="8" style="2" customWidth="1"/>
    <col min="6" max="6" width="9.453125" style="2" customWidth="1"/>
    <col min="7" max="7" width="7" style="2" customWidth="1"/>
    <col min="8" max="8" width="14" style="7" customWidth="1"/>
    <col min="9" max="9" width="8.7265625" style="7" customWidth="1"/>
    <col min="10" max="10" width="14.7265625" style="7" customWidth="1"/>
    <col min="11" max="11" width="10.54296875" style="2" bestFit="1" customWidth="1"/>
    <col min="12" max="12" width="11.81640625" style="1" bestFit="1" customWidth="1"/>
    <col min="13" max="16384" width="8.81640625" style="1"/>
  </cols>
  <sheetData>
    <row r="1" spans="1:11" x14ac:dyDescent="0.35">
      <c r="A1" s="5" t="s">
        <v>0</v>
      </c>
      <c r="B1" s="5" t="s">
        <v>29</v>
      </c>
      <c r="C1" s="5" t="s">
        <v>13</v>
      </c>
      <c r="D1" s="6" t="s">
        <v>2</v>
      </c>
      <c r="E1" s="3" t="s">
        <v>3</v>
      </c>
      <c r="F1" s="3" t="s">
        <v>4</v>
      </c>
      <c r="G1" s="3" t="s">
        <v>8</v>
      </c>
      <c r="H1" s="3" t="s">
        <v>5</v>
      </c>
      <c r="I1" s="3" t="s">
        <v>41</v>
      </c>
      <c r="J1" s="7" t="s">
        <v>14</v>
      </c>
      <c r="K1"/>
    </row>
    <row r="2" spans="1:11" ht="29" x14ac:dyDescent="0.35">
      <c r="A2" s="4" t="s">
        <v>48</v>
      </c>
      <c r="B2" s="2" t="s">
        <v>37</v>
      </c>
      <c r="C2" s="2" t="s">
        <v>37</v>
      </c>
      <c r="D2" s="2" t="s">
        <v>50</v>
      </c>
      <c r="E2" s="2" t="s">
        <v>37</v>
      </c>
      <c r="F2" s="2" t="s">
        <v>37</v>
      </c>
      <c r="G2" s="2" t="s">
        <v>37</v>
      </c>
      <c r="H2" s="20">
        <v>8</v>
      </c>
      <c r="I2" s="21">
        <v>3000</v>
      </c>
      <c r="J2" s="8">
        <v>24000</v>
      </c>
      <c r="K2"/>
    </row>
    <row r="3" spans="1:11" ht="29" x14ac:dyDescent="0.35">
      <c r="B3" s="2" t="s">
        <v>31</v>
      </c>
      <c r="C3" s="2" t="s">
        <v>37</v>
      </c>
      <c r="D3" s="2" t="s">
        <v>49</v>
      </c>
      <c r="E3" s="2" t="s">
        <v>37</v>
      </c>
      <c r="F3" s="2" t="s">
        <v>37</v>
      </c>
      <c r="G3" s="2" t="s">
        <v>37</v>
      </c>
      <c r="H3" s="20">
        <v>10</v>
      </c>
      <c r="I3" s="21">
        <v>255</v>
      </c>
      <c r="J3" s="8">
        <v>2550</v>
      </c>
      <c r="K3"/>
    </row>
    <row r="4" spans="1:11" ht="29" x14ac:dyDescent="0.35">
      <c r="B4" s="2" t="s">
        <v>32</v>
      </c>
      <c r="C4" s="2" t="s">
        <v>37</v>
      </c>
      <c r="D4" s="2" t="s">
        <v>49</v>
      </c>
      <c r="E4" s="2" t="s">
        <v>37</v>
      </c>
      <c r="F4" s="2" t="s">
        <v>37</v>
      </c>
      <c r="G4" s="2" t="s">
        <v>37</v>
      </c>
      <c r="H4" s="20">
        <v>8</v>
      </c>
      <c r="I4" s="21">
        <v>255</v>
      </c>
      <c r="J4" s="8">
        <v>2040</v>
      </c>
      <c r="K4"/>
    </row>
    <row r="5" spans="1:11" x14ac:dyDescent="0.35">
      <c r="A5" s="10" t="s">
        <v>11</v>
      </c>
      <c r="B5" s="7"/>
      <c r="C5" s="7"/>
      <c r="D5" s="7"/>
      <c r="E5" s="7"/>
      <c r="F5" s="7"/>
      <c r="G5" s="7"/>
      <c r="J5" s="8">
        <v>28590</v>
      </c>
    </row>
    <row r="6" spans="1:11" x14ac:dyDescent="0.35">
      <c r="A6"/>
      <c r="B6"/>
      <c r="C6"/>
      <c r="D6"/>
      <c r="E6"/>
      <c r="F6"/>
      <c r="G6"/>
      <c r="H6"/>
      <c r="I6"/>
      <c r="J6"/>
    </row>
    <row r="7" spans="1:11" x14ac:dyDescent="0.35">
      <c r="A7"/>
      <c r="B7"/>
      <c r="C7"/>
      <c r="D7"/>
      <c r="E7"/>
      <c r="F7"/>
      <c r="G7"/>
      <c r="H7"/>
      <c r="I7"/>
      <c r="J7"/>
    </row>
    <row r="8" spans="1:11" x14ac:dyDescent="0.35">
      <c r="A8"/>
      <c r="B8"/>
      <c r="C8"/>
      <c r="D8"/>
      <c r="E8"/>
      <c r="F8"/>
      <c r="G8"/>
      <c r="H8"/>
      <c r="I8"/>
      <c r="J8"/>
    </row>
    <row r="9" spans="1:11" x14ac:dyDescent="0.35">
      <c r="A9"/>
      <c r="B9"/>
      <c r="C9"/>
      <c r="D9"/>
      <c r="E9"/>
      <c r="F9"/>
      <c r="G9"/>
      <c r="H9"/>
      <c r="I9"/>
      <c r="J9"/>
    </row>
    <row r="10" spans="1:11" x14ac:dyDescent="0.35">
      <c r="A10"/>
      <c r="B10"/>
      <c r="C10"/>
      <c r="D10"/>
      <c r="E10"/>
      <c r="F10"/>
      <c r="G10"/>
      <c r="H10"/>
      <c r="I10"/>
      <c r="J10"/>
    </row>
    <row r="11" spans="1:11" x14ac:dyDescent="0.35">
      <c r="A11"/>
      <c r="B11"/>
      <c r="C11"/>
      <c r="D11"/>
      <c r="E11"/>
      <c r="F11"/>
      <c r="G11"/>
      <c r="H11"/>
      <c r="I11"/>
      <c r="J11"/>
    </row>
    <row r="12" spans="1:11" x14ac:dyDescent="0.35">
      <c r="A12"/>
      <c r="B12"/>
      <c r="C12"/>
      <c r="D12"/>
      <c r="E12"/>
      <c r="F12"/>
      <c r="G12"/>
      <c r="H12"/>
      <c r="I12"/>
      <c r="J12"/>
    </row>
    <row r="13" spans="1:11" x14ac:dyDescent="0.35">
      <c r="A13"/>
      <c r="B13"/>
      <c r="C13"/>
      <c r="D13"/>
      <c r="E13"/>
      <c r="F13"/>
      <c r="G13"/>
      <c r="H13"/>
      <c r="I13"/>
      <c r="J13"/>
    </row>
    <row r="14" spans="1:11" x14ac:dyDescent="0.35">
      <c r="A14"/>
      <c r="B14"/>
      <c r="C14"/>
      <c r="D14"/>
      <c r="E14"/>
      <c r="F14"/>
      <c r="G14"/>
      <c r="H14"/>
      <c r="I14"/>
      <c r="J14"/>
    </row>
    <row r="15" spans="1:11" x14ac:dyDescent="0.35">
      <c r="A15"/>
      <c r="B15"/>
      <c r="C15"/>
      <c r="D15"/>
      <c r="E15"/>
      <c r="F15"/>
      <c r="G15"/>
      <c r="H15"/>
      <c r="I15"/>
      <c r="J15"/>
    </row>
  </sheetData>
  <pageMargins left="0.7" right="0.7" top="0.75" bottom="0.75" header="0.3" footer="0.3"/>
  <pageSetup paperSize="9" orientation="landscape" r:id="rId2"/>
  <headerFooter>
    <oddHeader>&amp;C&amp;"Arial,Regular"&amp;18Victory Screens</oddHeader>
    <oddFooter>Page &amp;P of &amp;N</oddFooter>
  </headerFooter>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CBDE-3439-47BD-9C79-3EACC257365B}">
  <sheetPr codeName="Sheet8">
    <tabColor rgb="FFFFFF00"/>
  </sheetPr>
  <dimension ref="A1:D5"/>
  <sheetViews>
    <sheetView workbookViewId="0">
      <selection activeCell="D18" sqref="D18"/>
    </sheetView>
  </sheetViews>
  <sheetFormatPr defaultRowHeight="14.5" x14ac:dyDescent="0.35"/>
  <cols>
    <col min="1" max="1" width="12.6328125" bestFit="1" customWidth="1"/>
    <col min="2" max="2" width="14.1796875" bestFit="1" customWidth="1"/>
    <col min="3" max="3" width="7.08984375" bestFit="1" customWidth="1"/>
    <col min="4" max="4" width="14" bestFit="1" customWidth="1"/>
    <col min="5" max="5" width="10.7265625" bestFit="1" customWidth="1"/>
  </cols>
  <sheetData>
    <row r="1" spans="1:4" x14ac:dyDescent="0.35">
      <c r="A1" s="22" t="s">
        <v>1</v>
      </c>
      <c r="B1" s="22" t="s">
        <v>2</v>
      </c>
      <c r="C1" s="22" t="s">
        <v>40</v>
      </c>
      <c r="D1" t="s">
        <v>42</v>
      </c>
    </row>
    <row r="2" spans="1:4" x14ac:dyDescent="0.35">
      <c r="A2" t="s">
        <v>43</v>
      </c>
      <c r="B2" t="s">
        <v>37</v>
      </c>
      <c r="C2" s="23" t="s">
        <v>44</v>
      </c>
      <c r="D2" s="24">
        <v>5000</v>
      </c>
    </row>
    <row r="3" spans="1:4" x14ac:dyDescent="0.35">
      <c r="A3" t="s">
        <v>43</v>
      </c>
      <c r="B3" t="s">
        <v>37</v>
      </c>
      <c r="C3" s="23" t="s">
        <v>46</v>
      </c>
      <c r="D3" s="24">
        <v>3000</v>
      </c>
    </row>
    <row r="4" spans="1:4" x14ac:dyDescent="0.35">
      <c r="A4" t="s">
        <v>43</v>
      </c>
      <c r="B4" t="s">
        <v>37</v>
      </c>
      <c r="C4" s="23" t="s">
        <v>47</v>
      </c>
      <c r="D4" s="24">
        <v>2000</v>
      </c>
    </row>
    <row r="5" spans="1:4" x14ac:dyDescent="0.35">
      <c r="A5" t="s">
        <v>11</v>
      </c>
      <c r="D5" s="24">
        <v>10000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C9C0D-E132-45A4-8B84-51CEF3A7C6BA}">
  <sheetPr codeName="Sheet2">
    <tabColor theme="9" tint="-0.499984740745262"/>
  </sheetPr>
  <dimension ref="A1:K31"/>
  <sheetViews>
    <sheetView workbookViewId="0">
      <pane ySplit="1" topLeftCell="A2" activePane="bottomLeft" state="frozen"/>
      <selection activeCell="B17" sqref="B17"/>
      <selection pane="bottomLeft" activeCell="D5" sqref="D5"/>
    </sheetView>
  </sheetViews>
  <sheetFormatPr defaultColWidth="8.81640625" defaultRowHeight="14.5" x14ac:dyDescent="0.35"/>
  <cols>
    <col min="1" max="1" width="10.54296875" style="13" bestFit="1" customWidth="1"/>
    <col min="2" max="2" width="18.7265625" style="13" customWidth="1"/>
    <col min="3" max="3" width="14.1796875" style="13" bestFit="1" customWidth="1"/>
    <col min="4" max="4" width="14.1796875" style="13" customWidth="1"/>
    <col min="5" max="5" width="11.7265625" style="13" customWidth="1"/>
    <col min="6" max="6" width="6.7265625" style="13" bestFit="1" customWidth="1"/>
    <col min="7" max="7" width="8.81640625" style="13" bestFit="1" customWidth="1"/>
    <col min="8" max="8" width="7" style="13" bestFit="1" customWidth="1"/>
    <col min="9" max="9" width="10.54296875" style="13" bestFit="1" customWidth="1"/>
    <col min="10" max="10" width="10.26953125" style="13" bestFit="1" customWidth="1"/>
    <col min="11" max="11" width="11.7265625" style="17" bestFit="1" customWidth="1"/>
    <col min="12" max="16384" width="8.81640625" style="18"/>
  </cols>
  <sheetData>
    <row r="1" spans="1:11" x14ac:dyDescent="0.35">
      <c r="A1" s="13" t="s">
        <v>0</v>
      </c>
      <c r="B1" s="13" t="s">
        <v>1</v>
      </c>
      <c r="C1" s="13" t="s">
        <v>2</v>
      </c>
      <c r="D1" s="13" t="s">
        <v>29</v>
      </c>
      <c r="E1" s="13" t="s">
        <v>13</v>
      </c>
      <c r="F1" s="13" t="s">
        <v>3</v>
      </c>
      <c r="G1" s="13" t="s">
        <v>4</v>
      </c>
      <c r="H1" s="13" t="s">
        <v>8</v>
      </c>
      <c r="I1" s="13" t="s">
        <v>5</v>
      </c>
      <c r="J1" s="13" t="s">
        <v>6</v>
      </c>
      <c r="K1" s="13" t="s">
        <v>7</v>
      </c>
    </row>
    <row r="2" spans="1:11" x14ac:dyDescent="0.35">
      <c r="A2" s="14">
        <v>44562</v>
      </c>
      <c r="B2" s="13" t="s">
        <v>9</v>
      </c>
      <c r="I2" s="15">
        <v>1</v>
      </c>
      <c r="J2" s="16">
        <v>100000</v>
      </c>
      <c r="K2" s="19">
        <f>tblWork[[#This Row],[Rate]]*tblWork[[#This Row],[Quantity]]</f>
        <v>100000</v>
      </c>
    </row>
    <row r="3" spans="1:11" x14ac:dyDescent="0.35">
      <c r="A3" s="14">
        <v>44563</v>
      </c>
      <c r="B3" s="13" t="s">
        <v>9</v>
      </c>
      <c r="I3" s="15">
        <v>2</v>
      </c>
      <c r="J3" s="16">
        <v>2500</v>
      </c>
      <c r="K3" s="19">
        <f>tblWork[[#This Row],[Rate]]*tblWork[[#This Row],[Quantity]]</f>
        <v>5000</v>
      </c>
    </row>
    <row r="4" spans="1:11" x14ac:dyDescent="0.35">
      <c r="A4" s="14">
        <v>44564</v>
      </c>
      <c r="B4" s="13" t="s">
        <v>9</v>
      </c>
      <c r="I4" s="15">
        <v>5</v>
      </c>
      <c r="J4" s="16">
        <v>6250</v>
      </c>
      <c r="K4" s="19">
        <f>tblWork[[#This Row],[Rate]]*tblWork[[#This Row],[Quantity]]</f>
        <v>31250</v>
      </c>
    </row>
    <row r="5" spans="1:11" x14ac:dyDescent="0.35">
      <c r="A5" s="14">
        <v>44655</v>
      </c>
      <c r="B5" s="13" t="s">
        <v>10</v>
      </c>
      <c r="C5" s="13" t="s">
        <v>49</v>
      </c>
      <c r="D5" s="13" t="s">
        <v>31</v>
      </c>
      <c r="I5" s="15">
        <v>10</v>
      </c>
      <c r="J5" s="16">
        <v>255</v>
      </c>
      <c r="K5" s="19">
        <f>tblWork[[#This Row],[Rate]]*tblWork[[#This Row],[Quantity]]</f>
        <v>2550</v>
      </c>
    </row>
    <row r="6" spans="1:11" x14ac:dyDescent="0.35">
      <c r="A6" s="14">
        <v>44656</v>
      </c>
      <c r="B6" s="13" t="s">
        <v>10</v>
      </c>
      <c r="C6" s="13" t="s">
        <v>50</v>
      </c>
      <c r="I6" s="15">
        <v>8</v>
      </c>
      <c r="J6" s="16">
        <v>3000</v>
      </c>
      <c r="K6" s="19">
        <f>tblWork[[#This Row],[Rate]]*tblWork[[#This Row],[Quantity]]</f>
        <v>24000</v>
      </c>
    </row>
    <row r="7" spans="1:11" x14ac:dyDescent="0.35">
      <c r="A7" s="14">
        <v>44657</v>
      </c>
      <c r="B7" s="13" t="s">
        <v>10</v>
      </c>
      <c r="C7" s="13" t="s">
        <v>49</v>
      </c>
      <c r="D7" s="13" t="s">
        <v>32</v>
      </c>
      <c r="I7" s="15">
        <v>8</v>
      </c>
      <c r="J7" s="16">
        <v>255</v>
      </c>
      <c r="K7" s="19">
        <f>tblWork[[#This Row],[Rate]]*tblWork[[#This Row],[Quantity]]</f>
        <v>2040</v>
      </c>
    </row>
    <row r="8" spans="1:11" x14ac:dyDescent="0.35">
      <c r="A8" s="14"/>
      <c r="I8" s="15"/>
      <c r="J8" s="16"/>
      <c r="K8" s="19">
        <f>tblWork[[#This Row],[Rate]]*tblWork[[#This Row],[Quantity]]</f>
        <v>0</v>
      </c>
    </row>
    <row r="9" spans="1:11" x14ac:dyDescent="0.35">
      <c r="A9" s="14"/>
      <c r="I9" s="15"/>
      <c r="J9" s="16"/>
      <c r="K9" s="19">
        <f>tblWork[[#This Row],[Rate]]*tblWork[[#This Row],[Quantity]]</f>
        <v>0</v>
      </c>
    </row>
    <row r="10" spans="1:11" x14ac:dyDescent="0.35">
      <c r="A10" s="14"/>
      <c r="I10" s="15"/>
      <c r="J10" s="16"/>
      <c r="K10" s="19">
        <f>tblWork[[#This Row],[Rate]]*tblWork[[#This Row],[Quantity]]</f>
        <v>0</v>
      </c>
    </row>
    <row r="11" spans="1:11" x14ac:dyDescent="0.35">
      <c r="A11" s="14"/>
      <c r="I11" s="15"/>
      <c r="J11" s="16"/>
      <c r="K11" s="19">
        <f>tblWork[[#This Row],[Rate]]*tblWork[[#This Row],[Quantity]]</f>
        <v>0</v>
      </c>
    </row>
    <row r="12" spans="1:11" x14ac:dyDescent="0.35">
      <c r="A12" s="14"/>
      <c r="I12" s="15"/>
      <c r="J12" s="16"/>
      <c r="K12" s="19">
        <f>tblWork[[#This Row],[Rate]]*tblWork[[#This Row],[Quantity]]</f>
        <v>0</v>
      </c>
    </row>
    <row r="13" spans="1:11" x14ac:dyDescent="0.35">
      <c r="A13" s="14"/>
      <c r="I13" s="15"/>
      <c r="J13" s="16"/>
      <c r="K13" s="19">
        <f>tblWork[[#This Row],[Rate]]*tblWork[[#This Row],[Quantity]]</f>
        <v>0</v>
      </c>
    </row>
    <row r="14" spans="1:11" x14ac:dyDescent="0.35">
      <c r="A14" s="14"/>
      <c r="I14" s="15"/>
      <c r="J14" s="16"/>
      <c r="K14" s="19">
        <f>tblWork[[#This Row],[Rate]]*tblWork[[#This Row],[Quantity]]</f>
        <v>0</v>
      </c>
    </row>
    <row r="15" spans="1:11" x14ac:dyDescent="0.35">
      <c r="A15" s="14"/>
      <c r="I15" s="15"/>
      <c r="J15" s="16"/>
      <c r="K15" s="19">
        <f>tblWork[[#This Row],[Rate]]*tblWork[[#This Row],[Quantity]]</f>
        <v>0</v>
      </c>
    </row>
    <row r="16" spans="1:11" x14ac:dyDescent="0.35">
      <c r="A16" s="14"/>
      <c r="I16" s="15"/>
      <c r="J16" s="16"/>
      <c r="K16" s="19">
        <f>tblWork[[#This Row],[Rate]]*tblWork[[#This Row],[Quantity]]</f>
        <v>0</v>
      </c>
    </row>
    <row r="17" spans="1:11" x14ac:dyDescent="0.35">
      <c r="A17" s="14"/>
      <c r="I17" s="15"/>
      <c r="J17" s="16"/>
      <c r="K17" s="19">
        <f>tblWork[[#This Row],[Rate]]*tblWork[[#This Row],[Quantity]]</f>
        <v>0</v>
      </c>
    </row>
    <row r="18" spans="1:11" x14ac:dyDescent="0.35">
      <c r="A18" s="14"/>
      <c r="I18" s="15"/>
      <c r="J18" s="16"/>
      <c r="K18" s="19">
        <f>tblWork[[#This Row],[Rate]]*tblWork[[#This Row],[Quantity]]</f>
        <v>0</v>
      </c>
    </row>
    <row r="19" spans="1:11" x14ac:dyDescent="0.35">
      <c r="A19" s="14"/>
      <c r="I19" s="15"/>
      <c r="J19" s="16"/>
      <c r="K19" s="19">
        <f>tblWork[[#This Row],[Rate]]*tblWork[[#This Row],[Quantity]]</f>
        <v>0</v>
      </c>
    </row>
    <row r="20" spans="1:11" x14ac:dyDescent="0.35">
      <c r="A20" s="14"/>
      <c r="I20" s="15"/>
      <c r="J20" s="16"/>
      <c r="K20" s="19">
        <f>tblWork[[#This Row],[Rate]]*tblWork[[#This Row],[Quantity]]</f>
        <v>0</v>
      </c>
    </row>
    <row r="21" spans="1:11" x14ac:dyDescent="0.35">
      <c r="A21" s="14"/>
      <c r="I21" s="15"/>
      <c r="J21" s="16"/>
      <c r="K21" s="19">
        <f>tblWork[[#This Row],[Rate]]*tblWork[[#This Row],[Quantity]]</f>
        <v>0</v>
      </c>
    </row>
    <row r="22" spans="1:11" x14ac:dyDescent="0.35">
      <c r="A22" s="14"/>
      <c r="I22" s="15"/>
      <c r="J22" s="16"/>
      <c r="K22" s="19">
        <f>tblWork[[#This Row],[Rate]]*tblWork[[#This Row],[Quantity]]</f>
        <v>0</v>
      </c>
    </row>
    <row r="23" spans="1:11" x14ac:dyDescent="0.35">
      <c r="A23" s="14"/>
      <c r="I23" s="15"/>
      <c r="J23" s="16"/>
      <c r="K23" s="19">
        <f>tblWork[[#This Row],[Rate]]*tblWork[[#This Row],[Quantity]]</f>
        <v>0</v>
      </c>
    </row>
    <row r="24" spans="1:11" x14ac:dyDescent="0.35">
      <c r="A24" s="14"/>
      <c r="I24" s="15"/>
      <c r="J24" s="16"/>
      <c r="K24" s="19">
        <f>tblWork[[#This Row],[Rate]]*tblWork[[#This Row],[Quantity]]</f>
        <v>0</v>
      </c>
    </row>
    <row r="25" spans="1:11" x14ac:dyDescent="0.35">
      <c r="A25" s="14"/>
      <c r="I25" s="15"/>
      <c r="J25" s="16"/>
      <c r="K25" s="19">
        <f>tblWork[[#This Row],[Rate]]*tblWork[[#This Row],[Quantity]]</f>
        <v>0</v>
      </c>
    </row>
    <row r="26" spans="1:11" x14ac:dyDescent="0.35">
      <c r="A26" s="14"/>
      <c r="I26" s="15"/>
      <c r="J26" s="16"/>
      <c r="K26" s="19">
        <f>tblWork[[#This Row],[Rate]]*tblWork[[#This Row],[Quantity]]</f>
        <v>0</v>
      </c>
    </row>
    <row r="27" spans="1:11" x14ac:dyDescent="0.35">
      <c r="A27" s="14"/>
      <c r="I27" s="15"/>
      <c r="J27" s="16"/>
      <c r="K27" s="19">
        <f>tblWork[[#This Row],[Rate]]*tblWork[[#This Row],[Quantity]]</f>
        <v>0</v>
      </c>
    </row>
    <row r="28" spans="1:11" x14ac:dyDescent="0.35">
      <c r="A28" s="14"/>
      <c r="I28" s="15"/>
      <c r="J28" s="16"/>
      <c r="K28" s="19">
        <f>tblWork[[#This Row],[Rate]]*tblWork[[#This Row],[Quantity]]</f>
        <v>0</v>
      </c>
    </row>
    <row r="29" spans="1:11" x14ac:dyDescent="0.35">
      <c r="A29" s="14"/>
      <c r="I29" s="15"/>
      <c r="J29" s="16"/>
      <c r="K29" s="19">
        <f>tblWork[[#This Row],[Rate]]*tblWork[[#This Row],[Quantity]]</f>
        <v>0</v>
      </c>
    </row>
    <row r="30" spans="1:11" x14ac:dyDescent="0.35">
      <c r="A30" s="14"/>
      <c r="I30" s="15"/>
      <c r="J30" s="16"/>
      <c r="K30" s="19">
        <f>tblWork[[#This Row],[Rate]]*tblWork[[#This Row],[Quantity]]</f>
        <v>0</v>
      </c>
    </row>
    <row r="31" spans="1:11" x14ac:dyDescent="0.35">
      <c r="A31" s="14"/>
      <c r="I31" s="15"/>
      <c r="J31" s="16"/>
      <c r="K31" s="19">
        <f>tblWork[[#This Row],[Rate]]*tblWork[[#This Row],[Quantity]]</f>
        <v>0</v>
      </c>
    </row>
  </sheetData>
  <dataValidations count="3">
    <dataValidation type="list" allowBlank="1" showInputMessage="1" showErrorMessage="1" sqref="B2:B31" xr:uid="{814FBE92-8C90-490E-939C-3F0036988618}">
      <formula1>INDIRECT("tblClient[Client]")</formula1>
    </dataValidation>
    <dataValidation type="list" allowBlank="1" showInputMessage="1" showErrorMessage="1" sqref="E2:E31" xr:uid="{65088142-F686-4E73-8BAE-EEB3482ACF15}">
      <formula1>INDIRECT("tblModel[Model]")</formula1>
    </dataValidation>
    <dataValidation type="list" allowBlank="1" showInputMessage="1" showErrorMessage="1" sqref="D2:D31" xr:uid="{06CDB09E-9535-44B1-8B7C-E5584E4EF95D}">
      <formula1>INDIRECT("tblTailor[Tailor]")</formula1>
    </dataValidation>
  </dataValidations>
  <pageMargins left="0.7" right="0.7" top="0.75" bottom="0.75" header="0.3" footer="0.3"/>
  <pageSetup paperSize="9"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C6F47-8DFD-4789-A115-2FA09970CC9A}">
  <sheetPr codeName="Sheet6">
    <tabColor theme="9" tint="-0.499984740745262"/>
  </sheetPr>
  <dimension ref="A1:D6"/>
  <sheetViews>
    <sheetView tabSelected="1" workbookViewId="0">
      <selection activeCell="D10" sqref="D10"/>
    </sheetView>
  </sheetViews>
  <sheetFormatPr defaultRowHeight="14.5" x14ac:dyDescent="0.35"/>
  <cols>
    <col min="1" max="1" width="10.81640625" style="11" customWidth="1"/>
    <col min="2" max="2" width="21" style="11" customWidth="1"/>
    <col min="3" max="3" width="17.453125" style="11" customWidth="1"/>
    <col min="4" max="4" width="17.81640625" style="11" customWidth="1"/>
  </cols>
  <sheetData>
    <row r="1" spans="1:4" x14ac:dyDescent="0.35">
      <c r="A1" s="11" t="s">
        <v>40</v>
      </c>
      <c r="B1" s="11" t="s">
        <v>1</v>
      </c>
      <c r="C1" s="11" t="s">
        <v>2</v>
      </c>
      <c r="D1" s="11" t="s">
        <v>7</v>
      </c>
    </row>
    <row r="2" spans="1:4" x14ac:dyDescent="0.35">
      <c r="A2" s="14">
        <v>44562</v>
      </c>
      <c r="B2" s="11" t="s">
        <v>9</v>
      </c>
      <c r="D2" s="15">
        <v>20000</v>
      </c>
    </row>
    <row r="3" spans="1:4" x14ac:dyDescent="0.35">
      <c r="A3" s="14">
        <v>44959</v>
      </c>
      <c r="B3" s="11" t="s">
        <v>9</v>
      </c>
      <c r="D3" s="15">
        <v>30000</v>
      </c>
    </row>
    <row r="4" spans="1:4" x14ac:dyDescent="0.35">
      <c r="A4" s="14">
        <v>44258</v>
      </c>
      <c r="B4" s="11" t="s">
        <v>43</v>
      </c>
      <c r="D4" s="15">
        <v>5000</v>
      </c>
    </row>
    <row r="5" spans="1:4" x14ac:dyDescent="0.35">
      <c r="A5" s="14">
        <v>44624</v>
      </c>
      <c r="B5" s="11" t="s">
        <v>43</v>
      </c>
      <c r="D5" s="15">
        <v>3000</v>
      </c>
    </row>
    <row r="6" spans="1:4" x14ac:dyDescent="0.35">
      <c r="A6" s="14">
        <v>44625</v>
      </c>
      <c r="B6" s="11" t="s">
        <v>43</v>
      </c>
      <c r="D6" s="15">
        <v>2000</v>
      </c>
    </row>
  </sheetData>
  <dataValidations count="1">
    <dataValidation type="list" allowBlank="1" showInputMessage="1" showErrorMessage="1" sqref="B2:B6" xr:uid="{63A52C43-B83C-4D7E-B0CA-497BBC64CD80}">
      <formula1>INDIRECT("tblClient[Client]")</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CF2C7-5862-43A8-A9C6-62E37BC5F44E}">
  <sheetPr codeName="Sheet4">
    <tabColor theme="4"/>
  </sheetPr>
  <dimension ref="A1:A6"/>
  <sheetViews>
    <sheetView workbookViewId="0">
      <selection activeCell="A7" sqref="A7"/>
    </sheetView>
  </sheetViews>
  <sheetFormatPr defaultRowHeight="14.5" x14ac:dyDescent="0.35"/>
  <cols>
    <col min="1" max="1" width="9.1796875" style="11"/>
  </cols>
  <sheetData>
    <row r="1" spans="1:1" x14ac:dyDescent="0.35">
      <c r="A1" s="11" t="s">
        <v>29</v>
      </c>
    </row>
    <row r="2" spans="1:1" x14ac:dyDescent="0.35">
      <c r="A2" s="11" t="s">
        <v>33</v>
      </c>
    </row>
    <row r="3" spans="1:1" x14ac:dyDescent="0.35">
      <c r="A3" s="11" t="s">
        <v>31</v>
      </c>
    </row>
    <row r="4" spans="1:1" x14ac:dyDescent="0.35">
      <c r="A4" s="11" t="s">
        <v>32</v>
      </c>
    </row>
    <row r="5" spans="1:1" x14ac:dyDescent="0.35">
      <c r="A5" s="11" t="s">
        <v>30</v>
      </c>
    </row>
    <row r="6" spans="1:1" x14ac:dyDescent="0.35">
      <c r="A6" s="11" t="s">
        <v>51</v>
      </c>
    </row>
  </sheetData>
  <sheetProtection algorithmName="SHA-512" hashValue="KY2ROGmFfWiXHiusTMvCDr/hUYeETM+HBNedzJceFXmk5NMaZspSvL0OEhitQzu/iey1wYUixR6d+8qvxIG3ew==" saltValue="cdeuMra0gCiJCrj4mr2UZg==" spinCount="100000"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66453-9D6A-4C67-BB0E-2A7C822CD821}">
  <sheetPr codeName="Sheet5">
    <tabColor theme="4"/>
  </sheetPr>
  <dimension ref="A1:A15"/>
  <sheetViews>
    <sheetView workbookViewId="0">
      <selection activeCell="B17" sqref="B17"/>
    </sheetView>
  </sheetViews>
  <sheetFormatPr defaultRowHeight="14.5" x14ac:dyDescent="0.35"/>
  <cols>
    <col min="1" max="1" width="14.81640625" style="11" customWidth="1"/>
  </cols>
  <sheetData>
    <row r="1" spans="1:1" x14ac:dyDescent="0.35">
      <c r="A1" s="11" t="s">
        <v>13</v>
      </c>
    </row>
    <row r="2" spans="1:1" x14ac:dyDescent="0.35">
      <c r="A2" s="11" t="s">
        <v>19</v>
      </c>
    </row>
    <row r="3" spans="1:1" x14ac:dyDescent="0.35">
      <c r="A3" s="11" t="s">
        <v>26</v>
      </c>
    </row>
    <row r="4" spans="1:1" x14ac:dyDescent="0.35">
      <c r="A4" s="11" t="s">
        <v>22</v>
      </c>
    </row>
    <row r="5" spans="1:1" x14ac:dyDescent="0.35">
      <c r="A5" s="11" t="s">
        <v>24</v>
      </c>
    </row>
    <row r="6" spans="1:1" x14ac:dyDescent="0.35">
      <c r="A6" s="11" t="s">
        <v>28</v>
      </c>
    </row>
    <row r="7" spans="1:1" x14ac:dyDescent="0.35">
      <c r="A7" s="11" t="s">
        <v>17</v>
      </c>
    </row>
    <row r="8" spans="1:1" x14ac:dyDescent="0.35">
      <c r="A8" s="11" t="s">
        <v>16</v>
      </c>
    </row>
    <row r="9" spans="1:1" x14ac:dyDescent="0.35">
      <c r="A9" s="11" t="s">
        <v>25</v>
      </c>
    </row>
    <row r="10" spans="1:1" x14ac:dyDescent="0.35">
      <c r="A10" s="11" t="s">
        <v>23</v>
      </c>
    </row>
    <row r="11" spans="1:1" x14ac:dyDescent="0.35">
      <c r="A11" s="11" t="s">
        <v>27</v>
      </c>
    </row>
    <row r="12" spans="1:1" x14ac:dyDescent="0.35">
      <c r="A12" s="11" t="s">
        <v>15</v>
      </c>
    </row>
    <row r="13" spans="1:1" x14ac:dyDescent="0.35">
      <c r="A13" s="11" t="s">
        <v>20</v>
      </c>
    </row>
    <row r="14" spans="1:1" x14ac:dyDescent="0.35">
      <c r="A14" s="11" t="s">
        <v>18</v>
      </c>
    </row>
    <row r="15" spans="1:1" x14ac:dyDescent="0.35">
      <c r="A15" s="11" t="s">
        <v>21</v>
      </c>
    </row>
  </sheetData>
  <sheetProtection algorithmName="SHA-512" hashValue="mWDaogkQ9/HuUKzuE8Y7ipPRG23IO65jyNvtU/b0w+d/7sxv2ASGrPUTSf71sU7xmOkfru7fY5fLLpGtUZZjIw==" saltValue="IhqmeMJu7FdXv88sRWRkvg==" spinCount="100000" sheet="1" objects="1" scenarios="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9C22E66-08A2-465F-A749-01099D5BAE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Client</vt:lpstr>
      <vt:lpstr>Payment Tracking</vt:lpstr>
      <vt:lpstr>Income Tracking</vt:lpstr>
      <vt:lpstr>Work</vt:lpstr>
      <vt:lpstr>Income</vt:lpstr>
      <vt:lpstr>Tailor</vt:lpstr>
      <vt:lpstr>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AKAK</dc:creator>
  <cp:lastModifiedBy>MAB</cp:lastModifiedBy>
  <cp:lastPrinted>2022-03-06T15:23:07Z</cp:lastPrinted>
  <dcterms:created xsi:type="dcterms:W3CDTF">2022-02-12T07:30:34Z</dcterms:created>
  <dcterms:modified xsi:type="dcterms:W3CDTF">2022-04-09T17:30:09Z</dcterms:modified>
</cp:coreProperties>
</file>